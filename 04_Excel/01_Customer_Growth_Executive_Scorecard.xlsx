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kans\Desktop\Project 2 - Consumer Growth Analytics\05_Excel\"/>
    </mc:Choice>
  </mc:AlternateContent>
  <xr:revisionPtr revIDLastSave="0" documentId="13_ncr:1_{0B0D9F9E-FCB9-4847-86B2-CE9E0B69A064}" xr6:coauthVersionLast="47" xr6:coauthVersionMax="47" xr10:uidLastSave="{00000000-0000-0000-0000-000000000000}"/>
  <bookViews>
    <workbookView xWindow="-96" yWindow="0" windowWidth="15708" windowHeight="13056" firstSheet="1" activeTab="3" xr2:uid="{E34F7F8A-DF83-4E22-B885-232B19900AA8}"/>
  </bookViews>
  <sheets>
    <sheet name="Monthly_Pivot" sheetId="2" r:id="rId1"/>
    <sheet name="Purchase_Chart" sheetId="3" r:id="rId2"/>
    <sheet name="Executive_Scorecard" sheetId="4" r:id="rId3"/>
    <sheet name="KPI_Lookup" sheetId="5" r:id="rId4"/>
    <sheet name="Monthly_Performance" sheetId="1" r:id="rId5"/>
  </sheets>
  <definedNames>
    <definedName name="ExternalData_1" localSheetId="4" hidden="1">Monthly_Performance!$A$1:$D$6</definedName>
  </definedName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2" i="5"/>
  <c r="B3" i="5"/>
  <c r="B2" i="5"/>
  <c r="B6" i="4"/>
  <c r="B5" i="4"/>
  <c r="B3" i="4"/>
  <c r="F3" i="1"/>
  <c r="F4" i="1"/>
  <c r="F5" i="1"/>
  <c r="F6" i="1"/>
  <c r="E3" i="1"/>
  <c r="E2" i="1"/>
  <c r="E4" i="1"/>
  <c r="E5" i="1"/>
  <c r="E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F28B1B-CF15-4153-88EE-17EFD5F25C8D}" keepAlive="1" name="Query - Monthly Performance" description="Connection to the 'Monthly Performance' query in the workbook." type="5" refreshedVersion="8" background="1" saveData="1">
    <dbPr connection="Provider=Microsoft.Mashup.OleDb.1;Data Source=$Workbook$;Location=&quot;Monthly Performance&quot;;Extended Properties=&quot;&quot;" command="SELECT * FROM [Monthly Performance]"/>
  </connection>
</connections>
</file>

<file path=xl/sharedStrings.xml><?xml version="1.0" encoding="utf-8"?>
<sst xmlns="http://schemas.openxmlformats.org/spreadsheetml/2006/main" count="30" uniqueCount="29">
  <si>
    <t>month</t>
  </si>
  <si>
    <t>purchase_events</t>
  </si>
  <si>
    <t>unique_buyers</t>
  </si>
  <si>
    <t>purchase_value</t>
  </si>
  <si>
    <t>Value_Per_Buyer</t>
  </si>
  <si>
    <t>MoM_Growth</t>
  </si>
  <si>
    <t>Row Labels</t>
  </si>
  <si>
    <t>Grand Total</t>
  </si>
  <si>
    <t>Sum of purchase_value</t>
  </si>
  <si>
    <t>Month</t>
  </si>
  <si>
    <t>Purchase Value</t>
  </si>
  <si>
    <t>Monthly Buyers</t>
  </si>
  <si>
    <t>Total Recorded Purchase Value</t>
  </si>
  <si>
    <t>Total Unique Purchasers</t>
  </si>
  <si>
    <t>Cart Sessions Without Purchase (%)</t>
  </si>
  <si>
    <t>Repeat-Month Purchasers (%)</t>
  </si>
  <si>
    <t>CUSTOMER GROWTH | EXECUTIVE SCORECARD</t>
  </si>
  <si>
    <t>KEY BUSINESS FINDINGS</t>
  </si>
  <si>
    <t>1. Cart non-conversion: 87.19% of cart sessions had no recorded purchase.</t>
  </si>
  <si>
    <t>2. Customer retention: Only 16.03% of purchasers bought across multiple months.</t>
  </si>
  <si>
    <t>3. Monthly performance: Purchase value declined 29.61% in December.</t>
  </si>
  <si>
    <t>MANAGEMENT RECOMMENDATIONS</t>
  </si>
  <si>
    <t>1. Test checkout improvements and cart recovery campaigns.</t>
  </si>
  <si>
    <t>2. Introduce targeted repeat-purchase and retention experiments.</t>
  </si>
  <si>
    <t>3. Investigate December's decline in customer volume and spending.</t>
  </si>
  <si>
    <t>Small Note: Purchase values are provisional because identical event records were retained.</t>
  </si>
  <si>
    <t>Selected Month</t>
  </si>
  <si>
    <t>Unique Buyers</t>
  </si>
  <si>
    <t>Available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</si>
</sst>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5" formatCode="mmm\ yyyy"/>
    <numFmt numFmtId="179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175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179" fontId="0" fillId="0" borderId="0" xfId="1" applyNumberFormat="1" applyFont="1"/>
    <xf numFmtId="0" fontId="3" fillId="0" borderId="0" xfId="0" applyFont="1"/>
    <xf numFmtId="0" fontId="4" fillId="0" borderId="0" xfId="0" applyFont="1"/>
    <xf numFmtId="43" fontId="5" fillId="0" borderId="0" xfId="1" applyNumberFormat="1" applyFont="1"/>
    <xf numFmtId="179" fontId="5" fillId="0" borderId="0" xfId="1" applyNumberFormat="1" applyFont="1"/>
    <xf numFmtId="10" fontId="5" fillId="0" borderId="0" xfId="2" applyNumberFormat="1" applyFont="1"/>
    <xf numFmtId="0" fontId="6" fillId="0" borderId="0" xfId="0" applyFont="1"/>
    <xf numFmtId="0" fontId="2" fillId="0" borderId="0" xfId="0" applyFont="1" applyAlignment="1">
      <alignment wrapText="1"/>
    </xf>
    <xf numFmtId="17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7">
    <dxf>
      <numFmt numFmtId="3" formatCode="#,##0"/>
    </dxf>
    <dxf>
      <numFmt numFmtId="4" formatCode="#,##0.00"/>
    </dxf>
    <dxf>
      <numFmt numFmtId="4" formatCode="#,##0.00"/>
    </dxf>
    <dxf>
      <numFmt numFmtId="175" formatCode="mmm\ yyyy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[01_Customer_Growth_Executive_Scorecard.xlsx]Purchase_Chart!PivotTable2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Purchase Value</a:t>
            </a:r>
            <a:r>
              <a:rPr lang="en-IN" baseline="0"/>
              <a:t> (Oct 2019 - Feb 2020)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Purchase_Chart!$B$3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Purchase_Chart!$A$4:$A$9</c:f>
              <c:strCache>
                <c:ptCount val="5"/>
                <c:pt idx="0">
                  <c:v>01-10-2019</c:v>
                </c:pt>
                <c:pt idx="1">
                  <c:v>01-11-2019</c:v>
                </c:pt>
                <c:pt idx="2">
                  <c:v>01-12-2019</c:v>
                </c:pt>
                <c:pt idx="3">
                  <c:v>01-01-2020</c:v>
                </c:pt>
                <c:pt idx="4">
                  <c:v>01-02-2020</c:v>
                </c:pt>
              </c:strCache>
            </c:strRef>
          </c:cat>
          <c:val>
            <c:numRef>
              <c:f>Purchase_Chart!$B$4:$B$9</c:f>
              <c:numCache>
                <c:formatCode>General</c:formatCode>
                <c:ptCount val="5"/>
                <c:pt idx="0">
                  <c:v>1211538.43</c:v>
                </c:pt>
                <c:pt idx="1">
                  <c:v>1531016.9</c:v>
                </c:pt>
                <c:pt idx="2">
                  <c:v>1077624.8500000001</c:v>
                </c:pt>
                <c:pt idx="3">
                  <c:v>1321535.48</c:v>
                </c:pt>
                <c:pt idx="4">
                  <c:v>1206289.21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3-4D93-BC77-9B48C9BA1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972943"/>
        <c:axId val="1518967183"/>
      </c:barChart>
      <c:catAx>
        <c:axId val="1518972943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967183"/>
        <c:crosses val="autoZero"/>
        <c:auto val="1"/>
        <c:lblAlgn val="ctr"/>
        <c:lblOffset val="100"/>
        <c:noMultiLvlLbl val="0"/>
      </c:catAx>
      <c:valAx>
        <c:axId val="151896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97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598025</xdr:colOff>
      <xdr:row>23</xdr:row>
      <xdr:rowOff>173620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121E4-BB3E-47FA-A6E4-91B2AFFE3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ansh Mathur" refreshedDate="46316.009736574073" createdVersion="8" refreshedVersion="8" minRefreshableVersion="3" recordCount="5" xr:uid="{71B654E4-4DCF-4C65-A7E8-1B6151415B2F}">
  <cacheSource type="worksheet">
    <worksheetSource name="Monthly_Performance"/>
  </cacheSource>
  <cacheFields count="6">
    <cacheField name="month" numFmtId="14">
      <sharedItems containsSemiMixedTypes="0" containsNonDate="0" containsDate="1" containsString="0" minDate="2019-10-01T00:00:00" maxDate="2020-02-02T00:00:00" count="5">
        <d v="2019-10-01T00:00:00"/>
        <d v="2019-11-01T00:00:00"/>
        <d v="2019-12-01T00:00:00"/>
        <d v="2020-01-01T00:00:00"/>
        <d v="2020-02-01T00:00:00"/>
      </sharedItems>
    </cacheField>
    <cacheField name="purchase_events" numFmtId="0">
      <sharedItems containsSemiMixedTypes="0" containsString="0" containsNumber="1" containsInteger="1" minValue="213176" maxValue="322417"/>
    </cacheField>
    <cacheField name="unique_buyers" numFmtId="0">
      <sharedItems containsSemiMixedTypes="0" containsString="0" containsNumber="1" containsInteger="1" minValue="25613" maxValue="31524"/>
    </cacheField>
    <cacheField name="purchase_value" numFmtId="0">
      <sharedItems containsSemiMixedTypes="0" containsString="0" containsNumber="1" minValue="1077624.8500000001" maxValue="1531016.9"/>
    </cacheField>
    <cacheField name="Value_Per_Buyer" numFmtId="2">
      <sharedItems containsSemiMixedTypes="0" containsString="0" containsNumber="1" minValue="42.073355327372823" maxValue="48.566707905088187"/>
    </cacheField>
    <cacheField name="MoM_Growth" numFmtId="0">
      <sharedItems containsString="0" containsBlank="1" containsNumber="1" minValue="-0.29613784798848392" maxValue="0.26369652178511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45624"/>
    <n v="25762"/>
    <n v="1211538.43"/>
    <n v="47.028120099371165"/>
    <m/>
  </r>
  <r>
    <x v="1"/>
    <n v="322417"/>
    <n v="31524"/>
    <n v="1531016.9"/>
    <n v="48.566707905088187"/>
    <n v="0.26369652178511582"/>
  </r>
  <r>
    <x v="2"/>
    <n v="213176"/>
    <n v="25613"/>
    <n v="1077624.8500000001"/>
    <n v="42.073355327372823"/>
    <n v="-0.29613784798848392"/>
  </r>
  <r>
    <x v="3"/>
    <n v="263797"/>
    <n v="28220"/>
    <n v="1321535.48"/>
    <n v="46.829747696669031"/>
    <n v="0.22634094787253642"/>
  </r>
  <r>
    <x v="4"/>
    <n v="241993"/>
    <n v="25759"/>
    <n v="1206289.21"/>
    <n v="46.829815210217788"/>
    <n v="-8.720633819078396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039EE-DC30-4E3A-B0AF-AD0AE9AF34F7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onth">
  <location ref="A3:C8" firstHeaderRow="0" firstDataRow="1" firstDataCol="1"/>
  <pivotFields count="6"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dataField="1" showAll="0"/>
    <pivotField numFmtId="2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Purchase Value" fld="3" baseField="0" baseItem="0"/>
    <dataField name="Monthly Buyers" fld="2" baseField="0" baseItem="0" numFmtId="3"/>
  </dataFields>
  <formats count="4">
    <format dxfId="3">
      <pivotArea dataOnly="0" labelOnly="1" fieldPosition="0">
        <references count="1">
          <reference field="0" count="0"/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C0386-5BEF-4806-9D29-5B5D282F402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6"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numFmtId="2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urchase_valu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BE3A33-788D-4B82-951E-DE711137A458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month" tableColumnId="1"/>
      <queryTableField id="2" name="purchase_events" tableColumnId="2"/>
      <queryTableField id="3" name="unique_buyers" tableColumnId="3"/>
      <queryTableField id="4" name="purchase_value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6F3C9-52A0-473D-8575-1D81C0D46C53}" name="Monthly_Performance" displayName="Monthly_Performance" ref="A1:F6" tableType="queryTable" totalsRowShown="0">
  <autoFilter ref="A1:F6" xr:uid="{EC16F3C9-52A0-473D-8575-1D81C0D46C53}"/>
  <tableColumns count="6">
    <tableColumn id="1" xr3:uid="{E2DFF9ED-D9F4-4C59-B3B4-4D8A842E3CD4}" uniqueName="1" name="month" queryTableFieldId="1" dataDxfId="6"/>
    <tableColumn id="2" xr3:uid="{B1B399B4-49FD-4A35-B1E5-CA37A8D21B35}" uniqueName="2" name="purchase_events" queryTableFieldId="2"/>
    <tableColumn id="3" xr3:uid="{0EB30B8F-B597-4B42-82E5-EC83D3E8FF8D}" uniqueName="3" name="unique_buyers" queryTableFieldId="3"/>
    <tableColumn id="4" xr3:uid="{F5E1211F-32A5-4C00-BC6D-65CD8107890E}" uniqueName="4" name="purchase_value" queryTableFieldId="4"/>
    <tableColumn id="5" xr3:uid="{4CE259ED-A6E4-4E66-A5F0-FBF23423DC6B}" uniqueName="5" name="Value_Per_Buyer" queryTableFieldId="5" dataDxfId="5">
      <calculatedColumnFormula>D2/C2</calculatedColumnFormula>
    </tableColumn>
    <tableColumn id="6" xr3:uid="{8502C417-D8DC-40DA-B28F-246377C634EC}" uniqueName="6" name="MoM_Growth" queryTableFieldId="6" dataDxfId="4">
      <calculatedColumnFormula>(D2-D1)/D1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F810-248B-4BC6-BA6B-1D69AB0BE2D6}">
  <dimension ref="A3:C8"/>
  <sheetViews>
    <sheetView workbookViewId="0">
      <selection activeCell="D15" sqref="D15"/>
    </sheetView>
  </sheetViews>
  <sheetFormatPr defaultRowHeight="14.4" x14ac:dyDescent="0.3"/>
  <cols>
    <col min="1" max="1" width="8.77734375" bestFit="1" customWidth="1"/>
    <col min="2" max="2" width="13.44140625" bestFit="1" customWidth="1"/>
    <col min="3" max="3" width="13.77734375" bestFit="1" customWidth="1"/>
  </cols>
  <sheetData>
    <row r="3" spans="1:3" x14ac:dyDescent="0.3">
      <c r="A3" s="4" t="s">
        <v>9</v>
      </c>
      <c r="B3" t="s">
        <v>10</v>
      </c>
      <c r="C3" t="s">
        <v>11</v>
      </c>
    </row>
    <row r="4" spans="1:3" x14ac:dyDescent="0.3">
      <c r="A4" s="7">
        <v>43739</v>
      </c>
      <c r="B4" s="8">
        <v>1211538.43</v>
      </c>
      <c r="C4" s="9">
        <v>25762</v>
      </c>
    </row>
    <row r="5" spans="1:3" x14ac:dyDescent="0.3">
      <c r="A5" s="7">
        <v>43770</v>
      </c>
      <c r="B5" s="8">
        <v>1531016.9</v>
      </c>
      <c r="C5" s="9">
        <v>31524</v>
      </c>
    </row>
    <row r="6" spans="1:3" x14ac:dyDescent="0.3">
      <c r="A6" s="7">
        <v>43800</v>
      </c>
      <c r="B6" s="8">
        <v>1077624.8500000001</v>
      </c>
      <c r="C6" s="9">
        <v>25613</v>
      </c>
    </row>
    <row r="7" spans="1:3" x14ac:dyDescent="0.3">
      <c r="A7" s="7">
        <v>43831</v>
      </c>
      <c r="B7" s="8">
        <v>1321535.48</v>
      </c>
      <c r="C7" s="9">
        <v>28220</v>
      </c>
    </row>
    <row r="8" spans="1:3" x14ac:dyDescent="0.3">
      <c r="A8" s="7">
        <v>43862</v>
      </c>
      <c r="B8" s="8">
        <v>1206289.21</v>
      </c>
      <c r="C8" s="9">
        <v>25759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7CD7-B6E4-4FF0-809B-D9A948A48642}">
  <dimension ref="A3:B9"/>
  <sheetViews>
    <sheetView workbookViewId="0">
      <selection activeCell="I20" sqref="I20"/>
    </sheetView>
  </sheetViews>
  <sheetFormatPr defaultRowHeight="14.4" x14ac:dyDescent="0.3"/>
  <cols>
    <col min="1" max="1" width="12.5546875" bestFit="1" customWidth="1"/>
    <col min="2" max="2" width="20.88671875" bestFit="1" customWidth="1"/>
  </cols>
  <sheetData>
    <row r="3" spans="1:2" x14ac:dyDescent="0.3">
      <c r="A3" s="4" t="s">
        <v>6</v>
      </c>
      <c r="B3" t="s">
        <v>8</v>
      </c>
    </row>
    <row r="4" spans="1:2" x14ac:dyDescent="0.3">
      <c r="A4" s="5">
        <v>43739</v>
      </c>
      <c r="B4" s="6">
        <v>1211538.43</v>
      </c>
    </row>
    <row r="5" spans="1:2" x14ac:dyDescent="0.3">
      <c r="A5" s="5">
        <v>43770</v>
      </c>
      <c r="B5" s="6">
        <v>1531016.9</v>
      </c>
    </row>
    <row r="6" spans="1:2" x14ac:dyDescent="0.3">
      <c r="A6" s="5">
        <v>43800</v>
      </c>
      <c r="B6" s="6">
        <v>1077624.8500000001</v>
      </c>
    </row>
    <row r="7" spans="1:2" x14ac:dyDescent="0.3">
      <c r="A7" s="5">
        <v>43831</v>
      </c>
      <c r="B7" s="6">
        <v>1321535.48</v>
      </c>
    </row>
    <row r="8" spans="1:2" x14ac:dyDescent="0.3">
      <c r="A8" s="5">
        <v>43862</v>
      </c>
      <c r="B8" s="6">
        <v>1206289.21</v>
      </c>
    </row>
    <row r="9" spans="1:2" x14ac:dyDescent="0.3">
      <c r="A9" s="5" t="s">
        <v>7</v>
      </c>
      <c r="B9" s="6">
        <v>6348004.8700000001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D897-568D-44D8-ADF7-CEBC7CAF5590}">
  <dimension ref="A1:B39"/>
  <sheetViews>
    <sheetView zoomScale="70" zoomScaleNormal="70" workbookViewId="0">
      <selection activeCell="H39" sqref="H39"/>
    </sheetView>
  </sheetViews>
  <sheetFormatPr defaultRowHeight="14.4" x14ac:dyDescent="0.3"/>
  <cols>
    <col min="1" max="1" width="73.6640625" bestFit="1" customWidth="1"/>
    <col min="2" max="2" width="14.44140625" bestFit="1" customWidth="1"/>
  </cols>
  <sheetData>
    <row r="1" spans="1:2" ht="23.4" x14ac:dyDescent="0.45">
      <c r="A1" s="12" t="s">
        <v>16</v>
      </c>
    </row>
    <row r="3" spans="1:2" x14ac:dyDescent="0.3">
      <c r="A3" s="11" t="s">
        <v>12</v>
      </c>
      <c r="B3" s="13">
        <f>SUM(Monthly_Performance!D2:D6)</f>
        <v>6348004.8700000001</v>
      </c>
    </row>
    <row r="4" spans="1:2" x14ac:dyDescent="0.3">
      <c r="A4" s="11" t="s">
        <v>13</v>
      </c>
      <c r="B4" s="14">
        <v>110518</v>
      </c>
    </row>
    <row r="5" spans="1:2" x14ac:dyDescent="0.3">
      <c r="A5" s="11" t="s">
        <v>14</v>
      </c>
      <c r="B5" s="15">
        <f>859529/985813</f>
        <v>0.87189862580428534</v>
      </c>
    </row>
    <row r="6" spans="1:2" x14ac:dyDescent="0.3">
      <c r="A6" s="11" t="s">
        <v>15</v>
      </c>
      <c r="B6" s="15">
        <f>17720/110518</f>
        <v>0.16033587288948406</v>
      </c>
    </row>
    <row r="27" spans="1:1" ht="18" x14ac:dyDescent="0.35">
      <c r="A27" s="16" t="s">
        <v>17</v>
      </c>
    </row>
    <row r="29" spans="1:1" x14ac:dyDescent="0.3">
      <c r="A29" t="s">
        <v>18</v>
      </c>
    </row>
    <row r="30" spans="1:1" x14ac:dyDescent="0.3">
      <c r="A30" t="s">
        <v>19</v>
      </c>
    </row>
    <row r="31" spans="1:1" x14ac:dyDescent="0.3">
      <c r="A31" t="s">
        <v>20</v>
      </c>
    </row>
    <row r="33" spans="1:1" ht="18" x14ac:dyDescent="0.35">
      <c r="A33" s="16" t="s">
        <v>21</v>
      </c>
    </row>
    <row r="35" spans="1:1" x14ac:dyDescent="0.3">
      <c r="A35" t="s">
        <v>22</v>
      </c>
    </row>
    <row r="36" spans="1:1" x14ac:dyDescent="0.3">
      <c r="A36" t="s">
        <v>23</v>
      </c>
    </row>
    <row r="37" spans="1:1" x14ac:dyDescent="0.3">
      <c r="A37" t="s">
        <v>24</v>
      </c>
    </row>
    <row r="39" spans="1:1" ht="31.2" x14ac:dyDescent="0.3">
      <c r="A39" s="17" t="s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B8AC-9B5C-4CE0-92B0-832AE320C5FE}">
  <dimension ref="A1:D6"/>
  <sheetViews>
    <sheetView tabSelected="1" workbookViewId="0">
      <selection activeCell="G7" sqref="G7"/>
    </sheetView>
  </sheetViews>
  <sheetFormatPr defaultRowHeight="14.4" x14ac:dyDescent="0.3"/>
  <cols>
    <col min="1" max="1" width="13.88671875" bestFit="1" customWidth="1"/>
    <col min="2" max="2" width="12.33203125" bestFit="1" customWidth="1"/>
    <col min="4" max="4" width="15.109375" bestFit="1" customWidth="1"/>
  </cols>
  <sheetData>
    <row r="1" spans="1:4" x14ac:dyDescent="0.3">
      <c r="A1" t="s">
        <v>26</v>
      </c>
      <c r="B1" s="18">
        <v>43770</v>
      </c>
      <c r="D1" t="s">
        <v>28</v>
      </c>
    </row>
    <row r="2" spans="1:4" x14ac:dyDescent="0.3">
      <c r="A2" t="s">
        <v>10</v>
      </c>
      <c r="B2" s="10">
        <f>SUMIFS(Monthly_Performance!D2:D6,Monthly_Performance!A2:A6,B1)</f>
        <v>1531016.9</v>
      </c>
      <c r="D2" s="18">
        <f>Monthly_Performance!A2</f>
        <v>43739</v>
      </c>
    </row>
    <row r="3" spans="1:4" x14ac:dyDescent="0.3">
      <c r="A3" t="s">
        <v>27</v>
      </c>
      <c r="B3" s="10">
        <f>VLOOKUP(B1,Monthly_Performance!A2:D6,3,FALSE)</f>
        <v>31524</v>
      </c>
      <c r="D3" s="18">
        <f>Monthly_Performance!A3</f>
        <v>43770</v>
      </c>
    </row>
    <row r="4" spans="1:4" x14ac:dyDescent="0.3">
      <c r="D4" s="18">
        <f>Monthly_Performance!A4</f>
        <v>43800</v>
      </c>
    </row>
    <row r="5" spans="1:4" x14ac:dyDescent="0.3">
      <c r="D5" s="18">
        <f>Monthly_Performance!A5</f>
        <v>43831</v>
      </c>
    </row>
    <row r="6" spans="1:4" x14ac:dyDescent="0.3">
      <c r="D6" s="18">
        <f>Monthly_Performance!A6</f>
        <v>43862</v>
      </c>
    </row>
  </sheetData>
  <dataValidations count="1">
    <dataValidation type="list" allowBlank="1" showInputMessage="1" showErrorMessage="1" sqref="B1" xr:uid="{12ED37EF-BD6F-4BB9-8B31-AEB7BB92C869}">
      <formula1>$D$2:$D$6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90C3-9044-490D-8EF0-0E8F6E61456A}">
  <dimension ref="A1:F6"/>
  <sheetViews>
    <sheetView workbookViewId="0">
      <selection activeCell="C4" sqref="C4"/>
    </sheetView>
  </sheetViews>
  <sheetFormatPr defaultRowHeight="14.4" x14ac:dyDescent="0.3"/>
  <cols>
    <col min="1" max="1" width="10.33203125" bestFit="1" customWidth="1"/>
    <col min="2" max="2" width="17.5546875" bestFit="1" customWidth="1"/>
    <col min="3" max="3" width="15.88671875" bestFit="1" customWidth="1"/>
    <col min="4" max="4" width="16.5546875" bestFit="1" customWidth="1"/>
    <col min="5" max="5" width="17.77734375" bestFit="1" customWidth="1"/>
    <col min="6" max="6" width="15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43739</v>
      </c>
      <c r="B2">
        <v>245624</v>
      </c>
      <c r="C2">
        <v>25762</v>
      </c>
      <c r="D2">
        <v>1211538.43</v>
      </c>
      <c r="E2" s="2">
        <f t="shared" ref="E2:E6" si="0">D2/C2</f>
        <v>47.028120099371165</v>
      </c>
      <c r="F2" s="2"/>
    </row>
    <row r="3" spans="1:6" x14ac:dyDescent="0.3">
      <c r="A3" s="1">
        <v>43770</v>
      </c>
      <c r="B3">
        <v>322417</v>
      </c>
      <c r="C3">
        <v>31524</v>
      </c>
      <c r="D3">
        <v>1531016.9</v>
      </c>
      <c r="E3" s="2">
        <f>D3/C3</f>
        <v>48.566707905088187</v>
      </c>
      <c r="F3" s="3">
        <f t="shared" ref="F2:F6" si="1">(D3-D2)/D2</f>
        <v>0.26369652178511582</v>
      </c>
    </row>
    <row r="4" spans="1:6" x14ac:dyDescent="0.3">
      <c r="A4" s="1">
        <v>43800</v>
      </c>
      <c r="B4">
        <v>213176</v>
      </c>
      <c r="C4">
        <v>25613</v>
      </c>
      <c r="D4">
        <v>1077624.8500000001</v>
      </c>
      <c r="E4" s="2">
        <f t="shared" si="0"/>
        <v>42.073355327372823</v>
      </c>
      <c r="F4" s="3">
        <f t="shared" si="1"/>
        <v>-0.29613784798848392</v>
      </c>
    </row>
    <row r="5" spans="1:6" x14ac:dyDescent="0.3">
      <c r="A5" s="1">
        <v>43831</v>
      </c>
      <c r="B5">
        <v>263797</v>
      </c>
      <c r="C5">
        <v>28220</v>
      </c>
      <c r="D5">
        <v>1321535.48</v>
      </c>
      <c r="E5" s="2">
        <f t="shared" si="0"/>
        <v>46.829747696669031</v>
      </c>
      <c r="F5" s="3">
        <f t="shared" si="1"/>
        <v>0.22634094787253642</v>
      </c>
    </row>
    <row r="6" spans="1:6" x14ac:dyDescent="0.3">
      <c r="A6" s="1">
        <v>43862</v>
      </c>
      <c r="B6">
        <v>241993</v>
      </c>
      <c r="C6">
        <v>25759</v>
      </c>
      <c r="D6">
        <v>1206289.21</v>
      </c>
      <c r="E6" s="2">
        <f t="shared" si="0"/>
        <v>46.829815210217788</v>
      </c>
      <c r="F6" s="3">
        <f t="shared" si="1"/>
        <v>-8.7206338190783966E-2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613B7-57EB-4B1F-B5B4-319BBE120A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Monthly_Pivot</vt:lpstr>
      <vt:lpstr>Purchase_Chart</vt:lpstr>
      <vt:lpstr>Executive_Scorecard</vt:lpstr>
      <vt:lpstr>KPI_Lookup</vt:lpstr>
      <vt:lpstr>Monthly_Performance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Ekansh Mathur</dc:creator>
  <cp:lastModifiedBy>Ekansh Mathur</cp:lastModifiedBy>
  <dcterms:created xsi:type="dcterms:W3CDTF">2026-10-20T18:19:31Z</dcterms:created>
  <dcterms:modified xsi:type="dcterms:W3CDTF">2026-10-20T19:25:38Z</dcterms:modified>
</cp:coreProperties>
</file>